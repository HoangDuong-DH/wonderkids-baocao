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nnhathuy/Desktop/GENIOUS MATH/WONDERKIDS/"/>
    </mc:Choice>
  </mc:AlternateContent>
  <xr:revisionPtr revIDLastSave="0" documentId="8_{2FDB8DEE-A3F6-C441-9F54-A0893C154EDA}" xr6:coauthVersionLast="47" xr6:coauthVersionMax="47" xr10:uidLastSave="{00000000-0000-0000-0000-000000000000}"/>
  <bookViews>
    <workbookView xWindow="780" yWindow="1000" windowWidth="27640" windowHeight="15380" xr2:uid="{3C58110D-5D9B-784F-8CEF-DE0355E018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K39" i="1" s="1"/>
  <c r="I39" i="1"/>
  <c r="K38" i="1"/>
  <c r="K37" i="1"/>
  <c r="Q36" i="1"/>
  <c r="R36" i="1" s="1"/>
  <c r="P36" i="1"/>
  <c r="K36" i="1"/>
  <c r="R35" i="1"/>
  <c r="K35" i="1"/>
  <c r="R34" i="1"/>
  <c r="K34" i="1"/>
  <c r="R33" i="1"/>
  <c r="K33" i="1"/>
  <c r="I18" i="1"/>
  <c r="I17" i="1"/>
  <c r="I13" i="1"/>
  <c r="J13" i="1" s="1"/>
  <c r="H13" i="1"/>
  <c r="J12" i="1"/>
  <c r="J11" i="1"/>
  <c r="J10" i="1"/>
  <c r="J9" i="1"/>
  <c r="J8" i="1"/>
</calcChain>
</file>

<file path=xl/sharedStrings.xml><?xml version="1.0" encoding="utf-8"?>
<sst xmlns="http://schemas.openxmlformats.org/spreadsheetml/2006/main" count="124" uniqueCount="68">
  <si>
    <t>ĐÁNH GIÁ ĐẦU KÌ</t>
  </si>
  <si>
    <t>TÊN</t>
  </si>
  <si>
    <t>THIÊN KHÔI</t>
  </si>
  <si>
    <t>NĂM SINH</t>
  </si>
  <si>
    <t>LỚP</t>
  </si>
  <si>
    <t>KIẾN THỨC CƠ BẢN</t>
  </si>
  <si>
    <t>KẾT QUẢ ĐÁNH GIÁ THEO CÂU HỎI RIÊNG BIỆT</t>
  </si>
  <si>
    <t>ĐÁNH GIÁ THEO ĐƠN VỊ RIÊNG BIỆT</t>
  </si>
  <si>
    <t>MỤC</t>
  </si>
  <si>
    <t>ĐƠN VỊ</t>
  </si>
  <si>
    <t>ĐÁP ÁN</t>
  </si>
  <si>
    <t>KẾT QUẢ</t>
  </si>
  <si>
    <t>PHÂN LOẠI</t>
  </si>
  <si>
    <t>TIÊU CHUẨN</t>
  </si>
  <si>
    <t>ĐIỂM THỰC TẾ</t>
  </si>
  <si>
    <t>TỶ LỆ</t>
  </si>
  <si>
    <t>A</t>
  </si>
  <si>
    <t>o</t>
  </si>
  <si>
    <t>Các số đến 9</t>
  </si>
  <si>
    <t>C</t>
  </si>
  <si>
    <t>x</t>
  </si>
  <si>
    <t>B</t>
  </si>
  <si>
    <t>Phép cộng &amp; phép trừ</t>
  </si>
  <si>
    <t>Phân loại</t>
  </si>
  <si>
    <t>E</t>
  </si>
  <si>
    <t xml:space="preserve">D </t>
  </si>
  <si>
    <t>Đo lường</t>
  </si>
  <si>
    <t>Các hình dạng khác nhau</t>
  </si>
  <si>
    <t>TỔNG</t>
  </si>
  <si>
    <t>D</t>
  </si>
  <si>
    <t>SO SÁNH KHẢ NĂNG GIẢI TOÁN CÓ/KHÔNG CÓ LỜI VĂN</t>
  </si>
  <si>
    <t xml:space="preserve">Bài toán có lời văn </t>
  </si>
  <si>
    <t xml:space="preserve">Bài toán cơ bản </t>
  </si>
  <si>
    <t>TƯ DUY TOÁN HỌC</t>
  </si>
  <si>
    <t>ĐÁNH GIÁ THEO LĨNH VỰC</t>
  </si>
  <si>
    <t>SO SÁNH NĂNG LỰC GIẢI QUYẾT VẤN ĐỀ THEO CẤP ĐỘ</t>
  </si>
  <si>
    <t>ĐIỂM CHUẨN</t>
  </si>
  <si>
    <t>NỘI DUNG ĐÁNH GIÁ</t>
  </si>
  <si>
    <t>CÂU</t>
  </si>
  <si>
    <t>SỐ LƯỢNG CÂU</t>
  </si>
  <si>
    <t>CỤ THỂ</t>
  </si>
  <si>
    <t>NĂNG LỰC TƯ DUY CƠ BẢN</t>
  </si>
  <si>
    <t>A. Khả năng hiểu toán</t>
  </si>
  <si>
    <t>Áp dụng kiến thức đã học, lập luận để giải quyết những bài toán mới.</t>
  </si>
  <si>
    <t>2,3,5,7,8,9</t>
  </si>
  <si>
    <t>KHÓ</t>
  </si>
  <si>
    <t>8,9,10</t>
  </si>
  <si>
    <t>B. Khả năng quan sát trực quan</t>
  </si>
  <si>
    <t>Tìm ra được mối quan hệ hoặc bản chất của các sự vật thông qua trực quan để giải quyết vấn đề.</t>
  </si>
  <si>
    <t>1,3,4,6,10</t>
  </si>
  <si>
    <t>TRUNG BÌNH</t>
  </si>
  <si>
    <t>4,5,6,7</t>
  </si>
  <si>
    <t>C. Khả năng tổng hợp thông tin</t>
  </si>
  <si>
    <t>Thu thập những thông tin cần thiết, phân loại và giải quyết vấn đề.</t>
  </si>
  <si>
    <t>1,2,5,6,7,8,9</t>
  </si>
  <si>
    <t>DỄ</t>
  </si>
  <si>
    <t>1,2,3</t>
  </si>
  <si>
    <t>D. Khả năng dự đoán toán học</t>
  </si>
  <si>
    <t>Vận dụng và công thức hóa khái niệm hoặc ký hiệu toán học phù hợp để giải quyết vấn đề.</t>
  </si>
  <si>
    <t>4,5,6,7,9,10</t>
  </si>
  <si>
    <t>E. Khả năng nhận thức không gian</t>
  </si>
  <si>
    <t>Phát hiện và giải quyết những bài toán về hình học phẳng và không gian.</t>
  </si>
  <si>
    <t>2,3,4,9,10</t>
  </si>
  <si>
    <t>1,67</t>
  </si>
  <si>
    <t>F. Khả năng suy luận toán học</t>
  </si>
  <si>
    <t>Sử dụng các phương pháp như quy nạp hay diễn dịch.</t>
  </si>
  <si>
    <t>4,5,8,9</t>
  </si>
  <si>
    <t>Ý TƯỞNG SÁNG TẠO - GIẢI QUYẾT VẤN ĐỀ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</si>
</sst>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mbria"/>
      <family val="1"/>
    </font>
    <font>
      <sz val="12"/>
      <color theme="1"/>
      <name val="Cambria"/>
      <family val="1"/>
    </font>
    <font>
      <b/>
      <sz val="20"/>
      <color theme="1"/>
      <name val="Cambria"/>
      <family val="1"/>
    </font>
    <font>
      <sz val="20"/>
      <color theme="1"/>
      <name val="Cambria"/>
      <family val="1"/>
    </font>
    <font>
      <b/>
      <sz val="12"/>
      <color theme="4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9" fontId="3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/>
    <xf numFmtId="9" fontId="3" fillId="0" borderId="2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E72D-43F3-E34B-ABD3-B08F82DC1997}">
  <dimension ref="A1:V42"/>
  <sheetViews>
    <sheetView tabSelected="1" workbookViewId="0">
      <selection sqref="A1:XFD1048576"/>
    </sheetView>
  </sheetViews>
  <sheetFormatPr baseColWidth="10" defaultColWidth="10.83203125" defaultRowHeight="16" x14ac:dyDescent="0.2"/>
  <cols>
    <col min="1" max="1" width="17.83203125" style="3" customWidth="1"/>
    <col min="2" max="4" width="15.83203125" style="2" customWidth="1"/>
    <col min="5" max="5" width="6.6640625" style="2" customWidth="1"/>
    <col min="6" max="6" width="19.5" style="2" customWidth="1"/>
    <col min="7" max="7" width="31.33203125" style="2" customWidth="1"/>
    <col min="8" max="9" width="15" style="2" bestFit="1" customWidth="1"/>
    <col min="10" max="10" width="11.1640625" style="2" customWidth="1"/>
    <col min="11" max="11" width="11" style="2" customWidth="1"/>
    <col min="12" max="12" width="6.6640625" style="2" customWidth="1"/>
    <col min="13" max="13" width="16.83203125" style="2" customWidth="1"/>
    <col min="14" max="14" width="11.5" style="2" bestFit="1" customWidth="1"/>
    <col min="15" max="16" width="11.6640625" style="2" customWidth="1"/>
    <col min="17" max="17" width="18.5" style="2" customWidth="1"/>
    <col min="18" max="22" width="6.6640625" style="2" customWidth="1"/>
    <col min="23" max="23" width="10.83203125" style="3"/>
    <col min="24" max="24" width="7.1640625" style="3" bestFit="1" customWidth="1"/>
    <col min="25" max="25" width="19.5" style="3" customWidth="1"/>
    <col min="26" max="26" width="13.33203125" style="3" customWidth="1"/>
    <col min="27" max="16384" width="10.83203125" style="3"/>
  </cols>
  <sheetData>
    <row r="1" spans="1:22" ht="30" x14ac:dyDescent="0.3">
      <c r="A1" s="1" t="s">
        <v>0</v>
      </c>
    </row>
    <row r="2" spans="1:22" x14ac:dyDescent="0.2">
      <c r="A2" s="3" t="s">
        <v>1</v>
      </c>
      <c r="B2" s="2" t="s">
        <v>2</v>
      </c>
      <c r="D2" s="2" t="s">
        <v>3</v>
      </c>
    </row>
    <row r="3" spans="1:22" x14ac:dyDescent="0.2">
      <c r="A3" s="3" t="s">
        <v>4</v>
      </c>
    </row>
    <row r="5" spans="1:22" s="6" customFormat="1" ht="25" x14ac:dyDescent="0.25">
      <c r="A5" s="4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s="10" customFormat="1" x14ac:dyDescent="0.2">
      <c r="A6" s="7" t="s">
        <v>6</v>
      </c>
      <c r="B6" s="7"/>
      <c r="C6" s="7"/>
      <c r="D6" s="7"/>
      <c r="E6" s="8"/>
      <c r="F6" s="9" t="s">
        <v>7</v>
      </c>
      <c r="G6" s="9"/>
      <c r="H6" s="9"/>
      <c r="I6" s="9"/>
      <c r="J6" s="9"/>
      <c r="K6" s="8"/>
      <c r="L6" s="8"/>
      <c r="Q6" s="11"/>
      <c r="R6" s="11"/>
      <c r="S6" s="11"/>
      <c r="T6" s="11"/>
      <c r="U6" s="11"/>
      <c r="V6" s="11"/>
    </row>
    <row r="7" spans="1:22" s="17" customFormat="1" ht="17" x14ac:dyDescent="0.2">
      <c r="A7" s="12" t="s">
        <v>8</v>
      </c>
      <c r="B7" s="12" t="s">
        <v>9</v>
      </c>
      <c r="C7" s="12" t="s">
        <v>10</v>
      </c>
      <c r="D7" s="12" t="s">
        <v>11</v>
      </c>
      <c r="E7" s="13"/>
      <c r="F7" s="14" t="s">
        <v>9</v>
      </c>
      <c r="G7" s="15" t="s">
        <v>12</v>
      </c>
      <c r="H7" s="15" t="s">
        <v>13</v>
      </c>
      <c r="I7" s="16" t="s">
        <v>14</v>
      </c>
      <c r="J7" s="15" t="s">
        <v>15</v>
      </c>
      <c r="K7" s="13"/>
      <c r="L7" s="13"/>
      <c r="R7" s="13"/>
      <c r="S7" s="13"/>
      <c r="T7" s="13"/>
      <c r="U7" s="13"/>
      <c r="V7" s="13"/>
    </row>
    <row r="8" spans="1:22" s="17" customFormat="1" ht="17" x14ac:dyDescent="0.2">
      <c r="A8" s="18">
        <v>1</v>
      </c>
      <c r="B8" s="18" t="s">
        <v>16</v>
      </c>
      <c r="C8" s="18">
        <v>4</v>
      </c>
      <c r="D8" s="18" t="s">
        <v>17</v>
      </c>
      <c r="E8" s="13"/>
      <c r="F8" s="19" t="s">
        <v>16</v>
      </c>
      <c r="G8" s="19" t="s">
        <v>18</v>
      </c>
      <c r="H8" s="19">
        <v>5</v>
      </c>
      <c r="I8" s="19">
        <v>2</v>
      </c>
      <c r="J8" s="20">
        <f>I8/H8</f>
        <v>0.4</v>
      </c>
      <c r="K8" s="13"/>
      <c r="L8" s="13"/>
      <c r="Q8" s="13"/>
      <c r="R8" s="13"/>
      <c r="S8" s="13"/>
      <c r="T8" s="13"/>
      <c r="U8" s="13"/>
      <c r="V8" s="13"/>
    </row>
    <row r="9" spans="1:22" s="17" customFormat="1" ht="17" x14ac:dyDescent="0.2">
      <c r="A9" s="18">
        <v>2</v>
      </c>
      <c r="B9" s="18" t="s">
        <v>19</v>
      </c>
      <c r="C9" s="18">
        <v>2</v>
      </c>
      <c r="D9" s="18" t="s">
        <v>20</v>
      </c>
      <c r="E9" s="13"/>
      <c r="F9" s="19" t="s">
        <v>21</v>
      </c>
      <c r="G9" s="19" t="s">
        <v>22</v>
      </c>
      <c r="H9" s="19">
        <v>5</v>
      </c>
      <c r="I9" s="19">
        <v>4</v>
      </c>
      <c r="J9" s="20">
        <f t="shared" ref="J9:J12" si="0">I9/H9</f>
        <v>0.8</v>
      </c>
      <c r="K9" s="13"/>
      <c r="L9" s="13"/>
      <c r="Q9" s="13"/>
      <c r="R9" s="13"/>
      <c r="S9" s="13"/>
      <c r="T9" s="13"/>
      <c r="U9" s="13"/>
      <c r="V9" s="13"/>
    </row>
    <row r="10" spans="1:22" s="17" customFormat="1" ht="17" x14ac:dyDescent="0.2">
      <c r="A10" s="18">
        <v>3</v>
      </c>
      <c r="B10" s="18" t="s">
        <v>21</v>
      </c>
      <c r="C10" s="18">
        <v>5</v>
      </c>
      <c r="D10" s="18" t="s">
        <v>17</v>
      </c>
      <c r="E10" s="13"/>
      <c r="F10" s="19" t="s">
        <v>19</v>
      </c>
      <c r="G10" s="19" t="s">
        <v>23</v>
      </c>
      <c r="H10" s="19">
        <v>3</v>
      </c>
      <c r="I10" s="19">
        <v>0</v>
      </c>
      <c r="J10" s="20">
        <f t="shared" si="0"/>
        <v>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s="17" customFormat="1" ht="17" x14ac:dyDescent="0.2">
      <c r="A11" s="18">
        <v>4</v>
      </c>
      <c r="B11" s="18" t="s">
        <v>24</v>
      </c>
      <c r="C11" s="18">
        <v>1</v>
      </c>
      <c r="D11" s="18" t="s">
        <v>17</v>
      </c>
      <c r="E11" s="13"/>
      <c r="F11" s="19" t="s">
        <v>25</v>
      </c>
      <c r="G11" s="19" t="s">
        <v>26</v>
      </c>
      <c r="H11" s="19">
        <v>4</v>
      </c>
      <c r="I11" s="19">
        <v>2</v>
      </c>
      <c r="J11" s="20">
        <f t="shared" si="0"/>
        <v>0.5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s="17" customFormat="1" ht="17" x14ac:dyDescent="0.2">
      <c r="A12" s="18">
        <v>5</v>
      </c>
      <c r="B12" s="18" t="s">
        <v>21</v>
      </c>
      <c r="C12" s="18">
        <v>3</v>
      </c>
      <c r="D12" s="18" t="s">
        <v>17</v>
      </c>
      <c r="E12" s="13"/>
      <c r="F12" s="19" t="s">
        <v>24</v>
      </c>
      <c r="G12" s="19" t="s">
        <v>27</v>
      </c>
      <c r="H12" s="19">
        <v>3</v>
      </c>
      <c r="I12" s="19">
        <v>3</v>
      </c>
      <c r="J12" s="20">
        <f t="shared" si="0"/>
        <v>1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s="17" customFormat="1" ht="17" customHeight="1" x14ac:dyDescent="0.2">
      <c r="A13" s="18">
        <v>6</v>
      </c>
      <c r="B13" s="18" t="s">
        <v>21</v>
      </c>
      <c r="C13" s="18">
        <v>0</v>
      </c>
      <c r="D13" s="18" t="s">
        <v>17</v>
      </c>
      <c r="E13" s="13"/>
      <c r="F13" s="21" t="s">
        <v>28</v>
      </c>
      <c r="G13" s="22"/>
      <c r="H13" s="19">
        <f>SUM(H8:H12)</f>
        <v>20</v>
      </c>
      <c r="I13" s="19">
        <f>SUM(I8:I12)</f>
        <v>11</v>
      </c>
      <c r="J13" s="20">
        <f>I13/H13</f>
        <v>0.55000000000000004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x14ac:dyDescent="0.2">
      <c r="A14" s="18">
        <v>7</v>
      </c>
      <c r="B14" s="18" t="s">
        <v>29</v>
      </c>
      <c r="C14" s="18">
        <v>2</v>
      </c>
      <c r="D14" s="18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2">
      <c r="A15" s="18">
        <v>8</v>
      </c>
      <c r="B15" s="18" t="s">
        <v>16</v>
      </c>
      <c r="C15" s="18">
        <v>0</v>
      </c>
      <c r="D15" s="18" t="s">
        <v>20</v>
      </c>
      <c r="E15" s="13"/>
      <c r="F15" s="7" t="s">
        <v>30</v>
      </c>
      <c r="G15" s="7"/>
      <c r="H15" s="7"/>
      <c r="I15" s="7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x14ac:dyDescent="0.2">
      <c r="A16" s="18">
        <v>9</v>
      </c>
      <c r="B16" s="18" t="s">
        <v>19</v>
      </c>
      <c r="C16" s="18">
        <v>5</v>
      </c>
      <c r="D16" s="18" t="s">
        <v>20</v>
      </c>
      <c r="F16" s="12" t="s">
        <v>12</v>
      </c>
      <c r="G16" s="12" t="s">
        <v>13</v>
      </c>
      <c r="H16" s="16" t="s">
        <v>14</v>
      </c>
      <c r="I16" s="16" t="s">
        <v>15</v>
      </c>
    </row>
    <row r="17" spans="1:22" x14ac:dyDescent="0.2">
      <c r="A17" s="18">
        <v>10</v>
      </c>
      <c r="B17" s="18" t="s">
        <v>21</v>
      </c>
      <c r="C17" s="18">
        <v>2</v>
      </c>
      <c r="D17" s="18" t="s">
        <v>17</v>
      </c>
      <c r="F17" s="23" t="s">
        <v>31</v>
      </c>
      <c r="G17" s="18">
        <v>13</v>
      </c>
      <c r="H17" s="18">
        <v>6</v>
      </c>
      <c r="I17" s="24">
        <f>H17/G17</f>
        <v>0.46153846153846156</v>
      </c>
    </row>
    <row r="18" spans="1:22" x14ac:dyDescent="0.2">
      <c r="A18" s="18">
        <v>11</v>
      </c>
      <c r="B18" s="18" t="s">
        <v>29</v>
      </c>
      <c r="C18" s="18">
        <v>4</v>
      </c>
      <c r="D18" s="18" t="s">
        <v>20</v>
      </c>
      <c r="F18" s="23" t="s">
        <v>32</v>
      </c>
      <c r="G18" s="18">
        <v>7</v>
      </c>
      <c r="H18" s="18">
        <v>5</v>
      </c>
      <c r="I18" s="24">
        <f>H18/G18</f>
        <v>0.7142857142857143</v>
      </c>
    </row>
    <row r="19" spans="1:22" x14ac:dyDescent="0.2">
      <c r="A19" s="18">
        <v>12</v>
      </c>
      <c r="B19" s="18" t="s">
        <v>29</v>
      </c>
      <c r="C19" s="18">
        <v>3</v>
      </c>
      <c r="D19" s="18" t="s">
        <v>17</v>
      </c>
    </row>
    <row r="20" spans="1:22" x14ac:dyDescent="0.2">
      <c r="A20" s="18">
        <v>13</v>
      </c>
      <c r="B20" s="18" t="s">
        <v>21</v>
      </c>
      <c r="C20" s="18">
        <v>3</v>
      </c>
      <c r="D20" s="18" t="s">
        <v>20</v>
      </c>
    </row>
    <row r="21" spans="1:22" x14ac:dyDescent="0.2">
      <c r="A21" s="18">
        <v>14</v>
      </c>
      <c r="B21" s="18" t="s">
        <v>24</v>
      </c>
      <c r="C21" s="18">
        <v>2</v>
      </c>
      <c r="D21" s="18" t="s">
        <v>17</v>
      </c>
    </row>
    <row r="22" spans="1:22" x14ac:dyDescent="0.2">
      <c r="A22" s="18">
        <v>15</v>
      </c>
      <c r="B22" s="18" t="s">
        <v>24</v>
      </c>
      <c r="C22" s="18">
        <v>2</v>
      </c>
      <c r="D22" s="18" t="s">
        <v>17</v>
      </c>
    </row>
    <row r="23" spans="1:22" x14ac:dyDescent="0.2">
      <c r="A23" s="18">
        <v>16</v>
      </c>
      <c r="B23" s="18" t="s">
        <v>16</v>
      </c>
      <c r="C23" s="18">
        <v>3</v>
      </c>
      <c r="D23" s="18" t="s">
        <v>20</v>
      </c>
    </row>
    <row r="24" spans="1:22" x14ac:dyDescent="0.2">
      <c r="A24" s="18">
        <v>17</v>
      </c>
      <c r="B24" s="18" t="s">
        <v>16</v>
      </c>
      <c r="C24" s="18">
        <v>4</v>
      </c>
      <c r="D24" s="18" t="s">
        <v>17</v>
      </c>
    </row>
    <row r="25" spans="1:22" x14ac:dyDescent="0.2">
      <c r="A25" s="18">
        <v>18</v>
      </c>
      <c r="B25" s="18" t="s">
        <v>29</v>
      </c>
      <c r="C25" s="18">
        <v>5</v>
      </c>
      <c r="D25" s="18" t="s">
        <v>20</v>
      </c>
    </row>
    <row r="26" spans="1:22" x14ac:dyDescent="0.2">
      <c r="A26" s="18">
        <v>19</v>
      </c>
      <c r="B26" s="18" t="s">
        <v>19</v>
      </c>
      <c r="C26" s="18">
        <v>5</v>
      </c>
      <c r="D26" s="18" t="s">
        <v>20</v>
      </c>
    </row>
    <row r="27" spans="1:22" x14ac:dyDescent="0.2">
      <c r="A27" s="18">
        <v>20</v>
      </c>
      <c r="B27" s="18" t="s">
        <v>16</v>
      </c>
      <c r="C27" s="18">
        <v>0</v>
      </c>
      <c r="D27" s="18" t="s">
        <v>20</v>
      </c>
    </row>
    <row r="29" spans="1:22" s="6" customFormat="1" ht="25" x14ac:dyDescent="0.25">
      <c r="A29" s="4" t="s">
        <v>33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6" customHeight="1" x14ac:dyDescent="0.2">
      <c r="A30" s="7" t="s">
        <v>6</v>
      </c>
      <c r="B30" s="7"/>
      <c r="C30" s="7"/>
      <c r="D30" s="7"/>
      <c r="F30" s="25" t="s">
        <v>34</v>
      </c>
      <c r="G30" s="25"/>
      <c r="H30" s="25"/>
      <c r="I30" s="25"/>
      <c r="J30" s="25"/>
      <c r="K30" s="25"/>
      <c r="M30" s="9" t="s">
        <v>35</v>
      </c>
      <c r="N30" s="9"/>
      <c r="O30" s="9"/>
      <c r="P30" s="9"/>
      <c r="Q30" s="9"/>
      <c r="R30" s="9"/>
    </row>
    <row r="31" spans="1:22" x14ac:dyDescent="0.2">
      <c r="A31" s="26" t="s">
        <v>8</v>
      </c>
      <c r="B31" s="26"/>
      <c r="C31" s="26" t="s">
        <v>36</v>
      </c>
      <c r="D31" s="26" t="s">
        <v>28</v>
      </c>
      <c r="F31" s="27" t="s">
        <v>12</v>
      </c>
      <c r="G31" s="27" t="s">
        <v>37</v>
      </c>
      <c r="H31" s="27" t="s">
        <v>38</v>
      </c>
      <c r="I31" s="27" t="s">
        <v>36</v>
      </c>
      <c r="J31" s="27" t="s">
        <v>14</v>
      </c>
      <c r="K31" s="27" t="s">
        <v>15</v>
      </c>
      <c r="M31" s="27" t="s">
        <v>12</v>
      </c>
      <c r="N31" s="27" t="s">
        <v>39</v>
      </c>
      <c r="O31" s="27" t="s">
        <v>40</v>
      </c>
      <c r="P31" s="27" t="s">
        <v>36</v>
      </c>
      <c r="Q31" s="27" t="s">
        <v>14</v>
      </c>
      <c r="R31" s="27" t="s">
        <v>15</v>
      </c>
    </row>
    <row r="32" spans="1:22" x14ac:dyDescent="0.2">
      <c r="A32" s="26"/>
      <c r="B32" s="26"/>
      <c r="C32" s="26"/>
      <c r="D32" s="26"/>
      <c r="F32" s="27"/>
      <c r="G32" s="27"/>
      <c r="H32" s="27"/>
      <c r="I32" s="27"/>
      <c r="J32" s="27"/>
      <c r="K32" s="27"/>
      <c r="M32" s="27"/>
      <c r="N32" s="27"/>
      <c r="O32" s="27"/>
      <c r="P32" s="27"/>
      <c r="Q32" s="27"/>
      <c r="R32" s="27"/>
    </row>
    <row r="33" spans="1:22" s="17" customFormat="1" ht="51" x14ac:dyDescent="0.2">
      <c r="A33" s="28" t="s">
        <v>41</v>
      </c>
      <c r="B33" s="18">
        <v>1</v>
      </c>
      <c r="C33" s="18">
        <v>5</v>
      </c>
      <c r="D33" s="18">
        <v>0</v>
      </c>
      <c r="E33" s="13"/>
      <c r="F33" s="19" t="s">
        <v>42</v>
      </c>
      <c r="G33" s="19" t="s">
        <v>43</v>
      </c>
      <c r="H33" s="19" t="s">
        <v>44</v>
      </c>
      <c r="I33" s="19">
        <v>30</v>
      </c>
      <c r="J33" s="19">
        <v>0</v>
      </c>
      <c r="K33" s="20">
        <f>J33/I33</f>
        <v>0</v>
      </c>
      <c r="L33" s="13"/>
      <c r="M33" s="18" t="s">
        <v>45</v>
      </c>
      <c r="N33" s="18">
        <v>3</v>
      </c>
      <c r="O33" s="18" t="s">
        <v>46</v>
      </c>
      <c r="P33" s="18">
        <v>25</v>
      </c>
      <c r="Q33" s="18">
        <v>0</v>
      </c>
      <c r="R33" s="24">
        <f>Q33/P33</f>
        <v>0</v>
      </c>
      <c r="S33" s="13"/>
      <c r="T33" s="13"/>
      <c r="U33" s="13"/>
      <c r="V33" s="13"/>
    </row>
    <row r="34" spans="1:22" s="17" customFormat="1" ht="51" x14ac:dyDescent="0.2">
      <c r="A34" s="28"/>
      <c r="B34" s="18">
        <v>2</v>
      </c>
      <c r="C34" s="18">
        <v>5</v>
      </c>
      <c r="D34" s="18">
        <v>0</v>
      </c>
      <c r="E34" s="13"/>
      <c r="F34" s="19" t="s">
        <v>47</v>
      </c>
      <c r="G34" s="19" t="s">
        <v>48</v>
      </c>
      <c r="H34" s="19" t="s">
        <v>49</v>
      </c>
      <c r="I34" s="19">
        <v>25</v>
      </c>
      <c r="J34" s="19">
        <v>1.67</v>
      </c>
      <c r="K34" s="20">
        <f t="shared" ref="K34:K39" si="1">J34/I34</f>
        <v>6.6799999999999998E-2</v>
      </c>
      <c r="L34" s="13"/>
      <c r="M34" s="18" t="s">
        <v>50</v>
      </c>
      <c r="N34" s="18">
        <v>4</v>
      </c>
      <c r="O34" s="18" t="s">
        <v>51</v>
      </c>
      <c r="P34" s="18">
        <v>20</v>
      </c>
      <c r="Q34" s="18">
        <v>1.67</v>
      </c>
      <c r="R34" s="24">
        <f t="shared" ref="R34:R36" si="2">Q34/P34</f>
        <v>8.3499999999999991E-2</v>
      </c>
      <c r="S34" s="13"/>
      <c r="T34" s="13"/>
      <c r="U34" s="13"/>
      <c r="V34" s="13"/>
    </row>
    <row r="35" spans="1:22" s="17" customFormat="1" ht="51" x14ac:dyDescent="0.2">
      <c r="A35" s="28"/>
      <c r="B35" s="18">
        <v>3</v>
      </c>
      <c r="C35" s="18">
        <v>5</v>
      </c>
      <c r="D35" s="18">
        <v>0</v>
      </c>
      <c r="E35" s="13"/>
      <c r="F35" s="19" t="s">
        <v>52</v>
      </c>
      <c r="G35" s="19" t="s">
        <v>53</v>
      </c>
      <c r="H35" s="19" t="s">
        <v>54</v>
      </c>
      <c r="I35" s="19">
        <v>35</v>
      </c>
      <c r="J35" s="19">
        <v>1.67</v>
      </c>
      <c r="K35" s="20">
        <f t="shared" si="1"/>
        <v>4.7714285714285709E-2</v>
      </c>
      <c r="L35" s="13"/>
      <c r="M35" s="18" t="s">
        <v>55</v>
      </c>
      <c r="N35" s="18">
        <v>3</v>
      </c>
      <c r="O35" s="18" t="s">
        <v>56</v>
      </c>
      <c r="P35" s="18">
        <v>15</v>
      </c>
      <c r="Q35" s="18">
        <v>0</v>
      </c>
      <c r="R35" s="24">
        <f t="shared" si="2"/>
        <v>0</v>
      </c>
      <c r="S35" s="13"/>
      <c r="T35" s="13"/>
      <c r="U35" s="13"/>
      <c r="V35" s="13"/>
    </row>
    <row r="36" spans="1:22" s="17" customFormat="1" ht="51" x14ac:dyDescent="0.2">
      <c r="A36" s="28"/>
      <c r="B36" s="18">
        <v>4</v>
      </c>
      <c r="C36" s="18">
        <v>5</v>
      </c>
      <c r="D36" s="18">
        <v>0</v>
      </c>
      <c r="E36" s="13"/>
      <c r="F36" s="19" t="s">
        <v>57</v>
      </c>
      <c r="G36" s="19" t="s">
        <v>58</v>
      </c>
      <c r="H36" s="19" t="s">
        <v>59</v>
      </c>
      <c r="I36" s="19">
        <v>30</v>
      </c>
      <c r="J36" s="19">
        <v>1.67</v>
      </c>
      <c r="K36" s="20">
        <f t="shared" si="1"/>
        <v>5.5666666666666663E-2</v>
      </c>
      <c r="L36" s="13"/>
      <c r="M36" s="29" t="s">
        <v>28</v>
      </c>
      <c r="N36" s="29"/>
      <c r="O36" s="29"/>
      <c r="P36" s="18">
        <f>SUM(P33:P35)</f>
        <v>60</v>
      </c>
      <c r="Q36" s="18">
        <f>SUM(Q33:Q35)</f>
        <v>1.67</v>
      </c>
      <c r="R36" s="24">
        <f t="shared" si="2"/>
        <v>2.7833333333333331E-2</v>
      </c>
      <c r="S36" s="13"/>
      <c r="T36" s="13"/>
      <c r="U36" s="13"/>
      <c r="V36" s="13"/>
    </row>
    <row r="37" spans="1:22" s="17" customFormat="1" ht="51" x14ac:dyDescent="0.2">
      <c r="A37" s="28"/>
      <c r="B37" s="18">
        <v>5</v>
      </c>
      <c r="C37" s="18">
        <v>5</v>
      </c>
      <c r="D37" s="18">
        <v>0</v>
      </c>
      <c r="E37" s="13"/>
      <c r="F37" s="19" t="s">
        <v>60</v>
      </c>
      <c r="G37" s="19" t="s">
        <v>61</v>
      </c>
      <c r="H37" s="19" t="s">
        <v>62</v>
      </c>
      <c r="I37" s="19">
        <v>25</v>
      </c>
      <c r="J37" s="19">
        <v>0</v>
      </c>
      <c r="K37" s="20">
        <f t="shared" si="1"/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s="17" customFormat="1" ht="34" x14ac:dyDescent="0.2">
      <c r="A38" s="28"/>
      <c r="B38" s="18">
        <v>6</v>
      </c>
      <c r="C38" s="18">
        <v>5</v>
      </c>
      <c r="D38" s="18" t="s">
        <v>63</v>
      </c>
      <c r="E38" s="13"/>
      <c r="F38" s="19" t="s">
        <v>64</v>
      </c>
      <c r="G38" s="19" t="s">
        <v>65</v>
      </c>
      <c r="H38" s="19" t="s">
        <v>66</v>
      </c>
      <c r="I38" s="19">
        <v>20</v>
      </c>
      <c r="J38" s="19">
        <v>0</v>
      </c>
      <c r="K38" s="20">
        <f t="shared" si="1"/>
        <v>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s="17" customFormat="1" x14ac:dyDescent="0.2">
      <c r="A39" s="28"/>
      <c r="B39" s="18">
        <v>7</v>
      </c>
      <c r="C39" s="18">
        <v>5</v>
      </c>
      <c r="D39" s="18">
        <v>0</v>
      </c>
      <c r="E39" s="13"/>
      <c r="F39" s="29" t="s">
        <v>28</v>
      </c>
      <c r="G39" s="29"/>
      <c r="H39" s="29"/>
      <c r="I39" s="18">
        <f>SUM(I33:I37)</f>
        <v>145</v>
      </c>
      <c r="J39" s="18">
        <f>SUM(J33:J37)</f>
        <v>5.01</v>
      </c>
      <c r="K39" s="20">
        <f t="shared" si="1"/>
        <v>3.4551724137931034E-2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s="17" customFormat="1" x14ac:dyDescent="0.2">
      <c r="A40" s="28" t="s">
        <v>33</v>
      </c>
      <c r="B40" s="18">
        <v>8</v>
      </c>
      <c r="C40" s="18">
        <v>7</v>
      </c>
      <c r="D40" s="18">
        <v>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s="17" customFormat="1" x14ac:dyDescent="0.2">
      <c r="A41" s="28"/>
      <c r="B41" s="18">
        <v>9</v>
      </c>
      <c r="C41" s="18">
        <v>7</v>
      </c>
      <c r="D41" s="18">
        <v>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s="17" customFormat="1" ht="51" x14ac:dyDescent="0.2">
      <c r="A42" s="19" t="s">
        <v>67</v>
      </c>
      <c r="B42" s="18">
        <v>10</v>
      </c>
      <c r="C42" s="18">
        <v>11</v>
      </c>
      <c r="D42" s="18">
        <v>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</sheetData>
  <mergeCells count="26">
    <mergeCell ref="A33:A39"/>
    <mergeCell ref="M36:O36"/>
    <mergeCell ref="F39:H39"/>
    <mergeCell ref="A40:A41"/>
    <mergeCell ref="M31:M32"/>
    <mergeCell ref="N31:N32"/>
    <mergeCell ref="O31:O32"/>
    <mergeCell ref="P31:P32"/>
    <mergeCell ref="Q31:Q32"/>
    <mergeCell ref="R31:R32"/>
    <mergeCell ref="M30:R30"/>
    <mergeCell ref="A31:B32"/>
    <mergeCell ref="C31:C32"/>
    <mergeCell ref="D31:D32"/>
    <mergeCell ref="F31:F32"/>
    <mergeCell ref="G31:G32"/>
    <mergeCell ref="H31:H32"/>
    <mergeCell ref="I31:I32"/>
    <mergeCell ref="J31:J32"/>
    <mergeCell ref="K31:K32"/>
    <mergeCell ref="A6:D6"/>
    <mergeCell ref="F6:J6"/>
    <mergeCell ref="F13:G13"/>
    <mergeCell ref="F15:I15"/>
    <mergeCell ref="A30:D30"/>
    <mergeCell ref="F30:K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 bao</dc:creator>
  <cp:lastModifiedBy>tram bao</cp:lastModifiedBy>
  <dcterms:created xsi:type="dcterms:W3CDTF">2026-05-11T04:27:36Z</dcterms:created>
  <dcterms:modified xsi:type="dcterms:W3CDTF">2026-05-11T04:27:58Z</dcterms:modified>
</cp:coreProperties>
</file>